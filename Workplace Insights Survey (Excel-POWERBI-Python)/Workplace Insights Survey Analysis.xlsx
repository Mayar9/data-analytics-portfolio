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data-analytics-portfolio\data-analytics-portfolio\Workplace Insights Survey (Excel-POWERBI-Python)\"/>
    </mc:Choice>
  </mc:AlternateContent>
  <xr:revisionPtr revIDLastSave="0" documentId="13_ncr:1_{2C08B41E-F756-44C7-BDF9-C95E3D356BD1}" xr6:coauthVersionLast="47" xr6:coauthVersionMax="47" xr10:uidLastSave="{00000000-0000-0000-0000-000000000000}"/>
  <bookViews>
    <workbookView xWindow="-108" yWindow="-108" windowWidth="23256" windowHeight="12456" activeTab="1" xr2:uid="{B04E4612-CD6C-45E1-9272-6DA3CB262237}"/>
  </bookViews>
  <sheets>
    <sheet name="Sheet1" sheetId="1" r:id="rId1"/>
    <sheet name="Sheet2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Questions Metadata_a8f763e6-732f-43a8-869b-c9308e941d4b" name="Dim Questions Metadata" connection="Query - Dim Questions Metadata"/>
          <x15:modelTable id="Dim Categories_8761771b-fb11-4fd3-abe2-1213fc2d8456" name="Dim Categories" connection="Query - Dim Categories"/>
          <x15:modelTable id="Dim Comments_f1f452fb-48f6-4089-8194-f314ae0334ac" name="Dim Comments" connection="Query - Dim Comments"/>
          <x15:modelTable id="Dim Demographics_1dea22dc-0ae5-4c9b-aef9-0913d1ae8ff8" name="Dim Demographics" connection="Query - Dim Demographics"/>
          <x15:modelTable id="FScales_Final_64a2bd6b-d8cd-417a-9620-3bbf2f579bb7" name="FScales_Final" connection="Query - FScales_Final"/>
          <x15:modelTable id="FChecklists_Final_a83cd185-f626-4a8c-bafe-6e270eb10b1d" name="FChecklists_Final" connection="Query - FChecklists_Final"/>
        </x15:modelTables>
        <x15:modelRelationships>
          <x15:modelRelationship fromTable="FScales_Final" fromColumn="Q_ID" toTable="Dim Questions Metadata" toColumn="Q_ID"/>
          <x15:modelRelationship fromTable="FScales_Final" fromColumn="Index" toTable="Dim Demographics" toColumn="Index"/>
          <x15:modelRelationship fromTable="FScales_Final" fromColumn="Index" toTable="Dim Comments" toColumn="Index"/>
          <x15:modelRelationship fromTable="FScales_Final" fromColumn="Index" toTable="Dim Categories" toColumn="Index"/>
          <x15:modelRelationship fromTable="FChecklists_Final" fromColumn="Q_ID" toTable="Dim Questions Metadata" toColumn="Q_ID"/>
          <x15:modelRelationship fromTable="FChecklists_Final" fromColumn="Index" toTable="Dim Demographics" toColumn="Index"/>
          <x15:modelRelationship fromTable="FChecklists_Final" fromColumn="Index" toTable="Dim Comments" toColumn="Index"/>
          <x15:modelRelationship fromTable="FChecklists_Final" fromColumn="Index" toTable="Dim Categories" toColumn="Index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11EBD-163D-4709-98BF-FFB8DADA7DC3}" keepAlive="1" name="Query - Department Mapper" description="Connection to the 'Department Mapper' query in the workbook." type="5" refreshedVersion="0" background="1">
    <dbPr connection="Provider=Microsoft.Mashup.OleDb.1;Data Source=$Workbook$;Location=&quot;Department Mapper&quot;;Extended Properties=&quot;&quot;" command="SELECT * FROM [Department Mapper]"/>
  </connection>
  <connection id="2" xr16:uid="{1A389CFB-C15A-4CCB-B69D-0247C937366A}" name="Query - Dim Categories" description="Connection to the 'Dim Categories' query in the workbook." type="100" refreshedVersion="8" minRefreshableVersion="5">
    <extLst>
      <ext xmlns:x15="http://schemas.microsoft.com/office/spreadsheetml/2010/11/main" uri="{DE250136-89BD-433C-8126-D09CA5730AF9}">
        <x15:connection id="811a8f8f-ceb8-4aad-b41d-b129de1bcd43"/>
      </ext>
    </extLst>
  </connection>
  <connection id="3" xr16:uid="{D2B5783C-47DB-49E9-922D-194CF3D276F4}" name="Query - Dim Comments" description="Connection to the 'Dim Comments' query in the workbook." type="100" refreshedVersion="8" minRefreshableVersion="5">
    <extLst>
      <ext xmlns:x15="http://schemas.microsoft.com/office/spreadsheetml/2010/11/main" uri="{DE250136-89BD-433C-8126-D09CA5730AF9}">
        <x15:connection id="bff42649-9c6b-448b-8ed1-ee49eb032125"/>
      </ext>
    </extLst>
  </connection>
  <connection id="4" xr16:uid="{20A5A428-E23E-4DD6-911A-156EA0816C57}" name="Query - Dim Demographics" description="Connection to the 'Dim Demographics' query in the workbook." type="100" refreshedVersion="8" minRefreshableVersion="5">
    <extLst>
      <ext xmlns:x15="http://schemas.microsoft.com/office/spreadsheetml/2010/11/main" uri="{DE250136-89BD-433C-8126-D09CA5730AF9}">
        <x15:connection id="84c048f0-d225-49a3-93a8-8f4e6c957656"/>
      </ext>
    </extLst>
  </connection>
  <connection id="5" xr16:uid="{2616A7BA-B04E-4CC9-89F9-D50E723734B7}" name="Query - Dim Questions Metadata" description="Connection to the 'Dim Questions Metadata' query in the workbook." type="100" refreshedVersion="8" minRefreshableVersion="5">
    <extLst>
      <ext xmlns:x15="http://schemas.microsoft.com/office/spreadsheetml/2010/11/main" uri="{DE250136-89BD-433C-8126-D09CA5730AF9}">
        <x15:connection id="51bcac29-cb6b-425a-bc74-988efecf1ebe"/>
      </ext>
    </extLst>
  </connection>
  <connection id="6" xr16:uid="{048B7D25-A49E-4B13-82E1-FDE4BDC1D1DC}" keepAlive="1" name="Query - Employee Feedback Classification" description="Connection to the 'Employee Feedback Classification' query in the workbook." type="5" refreshedVersion="0" background="1">
    <dbPr connection="Provider=Microsoft.Mashup.OleDb.1;Data Source=$Workbook$;Location=&quot;Employee Feedback Classification&quot;;Extended Properties=&quot;&quot;" command="SELECT * FROM [Employee Feedback Classification]"/>
  </connection>
  <connection id="7" xr16:uid="{DA36DE25-8FE1-498B-AE92-5BC8D111E31C}" keepAlive="1" name="Query - Fact Checklists" description="Connection to the 'Fact Checklists' query in the workbook." type="5" refreshedVersion="0" background="1">
    <dbPr connection="Provider=Microsoft.Mashup.OleDb.1;Data Source=$Workbook$;Location=&quot;Fact Checklists&quot;;Extended Properties=&quot;&quot;" command="SELECT * FROM [Fact Checklists]"/>
  </connection>
  <connection id="8" xr16:uid="{731D5E5B-74DA-4A9F-896C-E71A7E40C2A2}" keepAlive="1" name="Query - Fact Scales" description="Connection to the 'Fact Scales' query in the workbook." type="5" refreshedVersion="0" background="1">
    <dbPr connection="Provider=Microsoft.Mashup.OleDb.1;Data Source=$Workbook$;Location=&quot;Fact Scales&quot;;Extended Properties=&quot;&quot;" command="SELECT * FROM [Fact Scales]"/>
  </connection>
  <connection id="9" xr16:uid="{655AAD35-FEBD-4E69-9906-E5C32F0D328E}" name="Query - FChecklists_Final" description="Connection to the 'FChecklists_Final' query in the workbook." type="100" refreshedVersion="8" minRefreshableVersion="5">
    <extLst>
      <ext xmlns:x15="http://schemas.microsoft.com/office/spreadsheetml/2010/11/main" uri="{DE250136-89BD-433C-8126-D09CA5730AF9}">
        <x15:connection id="e32a1c77-775f-4d08-aca3-b9b634eb4cf3"/>
      </ext>
    </extLst>
  </connection>
  <connection id="10" xr16:uid="{2430733E-A9E6-4935-9A5B-2AB6E6C3C907}" name="Query - FScales_Final" description="Connection to the 'FScales_Final' query in the workbook." type="100" refreshedVersion="8" minRefreshableVersion="5">
    <extLst>
      <ext xmlns:x15="http://schemas.microsoft.com/office/spreadsheetml/2010/11/main" uri="{DE250136-89BD-433C-8126-D09CA5730AF9}">
        <x15:connection id="21493c61-350b-4a1d-891a-0af4fb53cb04"/>
      </ext>
    </extLst>
  </connection>
  <connection id="11" xr16:uid="{AB05DFFF-E158-481B-9B5D-2279CDFF7750}" keepAlive="1" name="Query - Fullfillment Mapper" description="Connection to the 'Fullfillment Mapper' query in the workbook." type="5" refreshedVersion="0" background="1">
    <dbPr connection="Provider=Microsoft.Mashup.OleDb.1;Data Source=$Workbook$;Location=&quot;Fullfillment Mapper&quot;;Extended Properties=&quot;&quot;" command="SELECT * FROM [Fullfillment Mapper]"/>
  </connection>
  <connection id="12" xr16:uid="{9224FDDF-407A-453B-ADBA-1B75F9510A42}" keepAlive="1" name="Query - Gender Mapper" description="Connection to the 'Gender Mapper' query in the workbook." type="5" refreshedVersion="0" background="1">
    <dbPr connection="Provider=Microsoft.Mashup.OleDb.1;Data Source=$Workbook$;Location=&quot;Gender Mapper&quot;;Extended Properties=&quot;&quot;" command="SELECT * FROM [Gender Mapper]"/>
  </connection>
  <connection id="13" xr16:uid="{924DAB06-A8BD-4B8C-A5B3-B5DAB35799EA}" keepAlive="1" name="Query - Growth Mapper" description="Connection to the 'Growth Mapper' query in the workbook." type="5" refreshedVersion="0" background="1">
    <dbPr connection="Provider=Microsoft.Mashup.OleDb.1;Data Source=$Workbook$;Location=&quot;Growth Mapper&quot;;Extended Properties=&quot;&quot;" command="SELECT * FROM [Growth Mapper]"/>
  </connection>
  <connection id="14" xr16:uid="{795A0A84-5669-4002-8701-84ECA44EAE3F}" keepAlive="1" name="Query - Job Search Mapper" description="Connection to the 'Job Search Mapper' query in the workbook." type="5" refreshedVersion="0" background="1">
    <dbPr connection="Provider=Microsoft.Mashup.OleDb.1;Data Source=$Workbook$;Location=&quot;Job Search Mapper&quot;;Extended Properties=&quot;&quot;" command="SELECT * FROM [Job Search Mapper]"/>
  </connection>
  <connection id="15" xr16:uid="{C83E7245-6E1D-495D-AC19-E9149DB17890}" keepAlive="1" name="Query - Survey Sheet" description="Connection to the 'Survey Sheet' query in the workbook." type="5" refreshedVersion="0" background="1">
    <dbPr connection="Provider=Microsoft.Mashup.OleDb.1;Data Source=$Workbook$;Location=&quot;Survey Sheet&quot;;Extended Properties=&quot;&quot;" command="SELECT * FROM [Survey Sheet]"/>
  </connection>
  <connection id="16" xr16:uid="{821FFCE1-5796-4DC1-B893-ED4D9129EFF1}" keepAlive="1" name="Query - Tenure Mapper" description="Connection to the 'Tenure Mapper' query in the workbook." type="5" refreshedVersion="0" background="1">
    <dbPr connection="Provider=Microsoft.Mashup.OleDb.1;Data Source=$Workbook$;Location=&quot;Tenure Mapper&quot;;Extended Properties=&quot;&quot;" command="SELECT * FROM [Tenure Mapper]"/>
  </connection>
  <connection id="17" xr16:uid="{0C3A0EE9-D7BC-41CC-9F82-55BA690A16C2}" keepAlive="1" name="Query - Training Mapper" description="Connection to the 'Training Mapper' query in the workbook." type="5" refreshedVersion="0" background="1">
    <dbPr connection="Provider=Microsoft.Mashup.OleDb.1;Data Source=$Workbook$;Location=&quot;Training Mapper&quot;;Extended Properties=&quot;&quot;" command="SELECT * FROM [Training Mapper]"/>
  </connection>
  <connection id="18" xr16:uid="{22D0D3B2-5536-4897-B4A0-A037B36CBD06}" keepAlive="1" name="Query - Well-Being Mapper" description="Connection to the 'Well-Being Mapper' query in the workbook." type="5" refreshedVersion="0" background="1">
    <dbPr connection="Provider=Microsoft.Mashup.OleDb.1;Data Source=$Workbook$;Location=&quot;Well-Being Mapper&quot;;Extended Properties=&quot;&quot;" command="SELECT * FROM [Well-Being Mapper]"/>
  </connection>
  <connection id="19" xr16:uid="{93948396-C69B-43FC-B53F-29BF1AD4F8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<sst xmlns="http://schemas.openxmlformats.org/spreadsheetml/2006/main" count="71" uniqueCount="54">
  <si>
    <t>Steps</t>
  </si>
  <si>
    <t>3. Load DIM tables &amp;&amp; Mapper tables</t>
  </si>
  <si>
    <t xml:space="preserve">1. In power query, Load 69 Responses sheet </t>
  </si>
  <si>
    <t xml:space="preserve">5. move to power pivot to create the data model </t>
  </si>
  <si>
    <r>
      <t xml:space="preserve">6. get back to power query to make initial steps of validation/analysis on data on main 68 responses sheet 
--The Variance check (filtered out 6 records with varaince equal zero; indicate that </t>
    </r>
    <r>
      <rPr>
        <b/>
        <sz val="11"/>
        <color theme="1"/>
        <rFont val="Calibri"/>
        <family val="2"/>
        <scheme val="minor"/>
      </rPr>
      <t>the data would be fake</t>
    </r>
    <r>
      <rPr>
        <sz val="11"/>
        <color theme="1"/>
        <rFont val="Calibri"/>
        <family val="2"/>
        <scheme val="minor"/>
      </rPr>
      <t>)</t>
    </r>
  </si>
  <si>
    <t>The goal of the variance check is to see if a respondent is paying attention to the Likert scales (the 1–5 ratings)</t>
  </si>
  <si>
    <t xml:space="preserve">2. To investigate if a respondent submitted a survey multiple time (delete index48) or ubnormal situations </t>
  </si>
  <si>
    <t>4. Take a reference from 68 responses sheet to prepare each question type for analysis (validate, edit, code)</t>
  </si>
  <si>
    <t>Row Labels</t>
  </si>
  <si>
    <t>Female</t>
  </si>
  <si>
    <t>Male</t>
  </si>
  <si>
    <t>Prefer not to say</t>
  </si>
  <si>
    <t>Grand Total</t>
  </si>
  <si>
    <t>Distinct Count of Index</t>
  </si>
  <si>
    <t>1 to 3 years</t>
  </si>
  <si>
    <t>3 to 5 years</t>
  </si>
  <si>
    <t>Less than 1 year</t>
  </si>
  <si>
    <t>More than 5 years</t>
  </si>
  <si>
    <t>Commercial / Sales</t>
  </si>
  <si>
    <t>Customer Care</t>
  </si>
  <si>
    <t>Data &amp; Analytics</t>
  </si>
  <si>
    <t>Support Functions (HR, Finance, Legal)</t>
  </si>
  <si>
    <t>Technology / Network</t>
  </si>
  <si>
    <t>Intent to Stay</t>
  </si>
  <si>
    <t>Satisfaction</t>
  </si>
  <si>
    <t>Transformation Leadership</t>
  </si>
  <si>
    <t>1-Year Confidence</t>
  </si>
  <si>
    <t>Culture &amp; Belonging</t>
  </si>
  <si>
    <t>Recognition</t>
  </si>
  <si>
    <t>Coaching Support</t>
  </si>
  <si>
    <t>Shared Vision</t>
  </si>
  <si>
    <t>Values Alignment</t>
  </si>
  <si>
    <t>Compensation &amp; Benefits</t>
  </si>
  <si>
    <t>Job Stability</t>
  </si>
  <si>
    <t>Team Culture</t>
  </si>
  <si>
    <t>Work-Life Balance</t>
  </si>
  <si>
    <t>Personal Investment</t>
  </si>
  <si>
    <t>6 irrelevant comments (Blanks filtered from pivot table)</t>
  </si>
  <si>
    <t>Supportive Leadership</t>
  </si>
  <si>
    <t>Reliable tools</t>
  </si>
  <si>
    <t>Clear objectives</t>
  </si>
  <si>
    <t>Healthy workplace</t>
  </si>
  <si>
    <t>Simple Approval Process</t>
  </si>
  <si>
    <t>Accessibility</t>
  </si>
  <si>
    <t>Empowerment</t>
  </si>
  <si>
    <t>Guidence</t>
  </si>
  <si>
    <t>Empathy</t>
  </si>
  <si>
    <t>Clear Vision</t>
  </si>
  <si>
    <t>Clear Feedback</t>
  </si>
  <si>
    <t>Checklist Selection Rate</t>
  </si>
  <si>
    <t>Average Score</t>
  </si>
  <si>
    <t>St. Dev bet. Scores</t>
  </si>
  <si>
    <t>Category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</si>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</sst>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3" borderId="0" xfId="0" applyFill="1" applyAlignment="1">
      <alignment horizontal="left" indent="1"/>
    </xf>
    <xf numFmtId="164" fontId="0" fillId="3" borderId="0" xfId="0" applyNumberFormat="1" applyFill="1"/>
    <xf numFmtId="4" fontId="0" fillId="0" borderId="0" xfId="0" applyNumberFormat="1"/>
    <xf numFmtId="4" fontId="0" fillId="3" borderId="0" xfId="0" applyNumberFormat="1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4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2C3947"/>
      <color rgb="FFD46600"/>
      <color rgb="FFC9495E"/>
      <color rgb="FF50C2E5"/>
      <color rgb="FF0568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[Workplace Insights Survey 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Contribution</a:t>
            </a:r>
            <a:r>
              <a:rPr lang="en-US" sz="1600" b="1" baseline="0"/>
              <a:t> By Department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50C2E5"/>
          </a:solidFill>
          <a:ln>
            <a:noFill/>
          </a:ln>
          <a:effectLst/>
        </c:spPr>
      </c:pivotFmt>
      <c:pivotFmt>
        <c:idx val="3"/>
        <c:spPr>
          <a:solidFill>
            <a:srgbClr val="C9495E"/>
          </a:solidFill>
          <a:ln>
            <a:noFill/>
          </a:ln>
          <a:effectLst/>
        </c:spPr>
      </c:pivotFmt>
      <c:pivotFmt>
        <c:idx val="4"/>
        <c:spPr>
          <a:solidFill>
            <a:srgbClr val="D46600"/>
          </a:solidFill>
          <a:ln>
            <a:noFill/>
          </a:ln>
          <a:effectLst/>
        </c:spPr>
      </c:pivotFmt>
      <c:pivotFmt>
        <c:idx val="5"/>
        <c:spPr>
          <a:solidFill>
            <a:srgbClr val="2C3947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56-41C3-9232-9D623BE8FB09}"/>
              </c:ext>
            </c:extLst>
          </c:dPt>
          <c:dPt>
            <c:idx val="1"/>
            <c:bubble3D val="0"/>
            <c:spPr>
              <a:solidFill>
                <a:srgbClr val="50C2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56-41C3-9232-9D623BE8FB09}"/>
              </c:ext>
            </c:extLst>
          </c:dPt>
          <c:dPt>
            <c:idx val="2"/>
            <c:bubble3D val="0"/>
            <c:spPr>
              <a:solidFill>
                <a:srgbClr val="C949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56-41C3-9232-9D623BE8FB09}"/>
              </c:ext>
            </c:extLst>
          </c:dPt>
          <c:dPt>
            <c:idx val="3"/>
            <c:bubble3D val="0"/>
            <c:spPr>
              <a:solidFill>
                <a:srgbClr val="D4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56-41C3-9232-9D623BE8FB09}"/>
              </c:ext>
            </c:extLst>
          </c:dPt>
          <c:dPt>
            <c:idx val="4"/>
            <c:bubble3D val="0"/>
            <c:spPr>
              <a:solidFill>
                <a:srgbClr val="2C39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56-41C3-9232-9D623BE8F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Sheet2!$J$2:$J$7</c:f>
              <c:strCache>
                <c:ptCount val="5"/>
                <c:pt idx="0">
                  <c:v>Technology / Network</c:v>
                </c:pt>
                <c:pt idx="1">
                  <c:v>Support Functions (HR, Finance, Legal)</c:v>
                </c:pt>
                <c:pt idx="2">
                  <c:v>Data &amp; Analytics</c:v>
                </c:pt>
                <c:pt idx="3">
                  <c:v>Customer Care</c:v>
                </c:pt>
                <c:pt idx="4">
                  <c:v>Commercial / Sales</c:v>
                </c:pt>
              </c:strCache>
            </c:strRef>
          </c:cat>
          <c:val>
            <c:numRef>
              <c:f>Sheet2!$K$2:$K$7</c:f>
              <c:numCache>
                <c:formatCode>0.00%</c:formatCode>
                <c:ptCount val="5"/>
                <c:pt idx="0">
                  <c:v>0.54838709677419351</c:v>
                </c:pt>
                <c:pt idx="1">
                  <c:v>0.17741935483870969</c:v>
                </c:pt>
                <c:pt idx="2">
                  <c:v>0.11290322580645161</c:v>
                </c:pt>
                <c:pt idx="3">
                  <c:v>9.6774193548387094E-2</c:v>
                </c:pt>
                <c:pt idx="4">
                  <c:v>6.4516129032258063E-2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6-41C3-9232-9D623BE8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[Workplace Insights Survey Analysis.xlsx]Sheet2!PivotTable4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Sheet2!$A$28:$A$31</c:f>
              <c:strCache>
                <c:ptCount val="3"/>
                <c:pt idx="0">
                  <c:v>Transformation Leadership</c:v>
                </c:pt>
                <c:pt idx="1">
                  <c:v>Satisfaction</c:v>
                </c:pt>
                <c:pt idx="2">
                  <c:v>Intent to Stay</c:v>
                </c:pt>
              </c:strCache>
            </c:strRef>
          </c:cat>
          <c:val>
            <c:numRef>
              <c:f>Sheet2!$B$28:$B$31</c:f>
              <c:numCache>
                <c:formatCode>General</c:formatCode>
                <c:ptCount val="3"/>
                <c:pt idx="0">
                  <c:v>32</c:v>
                </c:pt>
                <c:pt idx="1">
                  <c:v>23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8-40D2-8DED-415B1E863D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9238255"/>
        <c:axId val="2139238735"/>
      </c:barChart>
      <c:catAx>
        <c:axId val="213923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38735"/>
        <c:crosses val="autoZero"/>
        <c:auto val="1"/>
        <c:lblAlgn val="ctr"/>
        <c:lblOffset val="100"/>
        <c:noMultiLvlLbl val="0"/>
      </c:catAx>
      <c:valAx>
        <c:axId val="2139238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923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[Workplace Insights Survey Analysis.xlsx]Sheet2!PivotTable5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Sheet2!$J$28:$J$47</c:f>
              <c:multiLvlStrCache>
                <c:ptCount val="17"/>
                <c:lvl>
                  <c:pt idx="0">
                    <c:v>Compensation &amp; Benefits</c:v>
                  </c:pt>
                  <c:pt idx="1">
                    <c:v>Supportive Leadership</c:v>
                  </c:pt>
                  <c:pt idx="2">
                    <c:v>Work-Life Balance</c:v>
                  </c:pt>
                  <c:pt idx="3">
                    <c:v>Personal Investment</c:v>
                  </c:pt>
                  <c:pt idx="4">
                    <c:v>Job Stability</c:v>
                  </c:pt>
                  <c:pt idx="5">
                    <c:v>Team Culture</c:v>
                  </c:pt>
                  <c:pt idx="6">
                    <c:v>Reliable tools</c:v>
                  </c:pt>
                  <c:pt idx="7">
                    <c:v>Clear objectives</c:v>
                  </c:pt>
                  <c:pt idx="8">
                    <c:v>Healthy workplace</c:v>
                  </c:pt>
                  <c:pt idx="9">
                    <c:v>Simple Approval Process</c:v>
                  </c:pt>
                  <c:pt idx="10">
                    <c:v>Accessibility</c:v>
                  </c:pt>
                  <c:pt idx="11">
                    <c:v>Empowerment</c:v>
                  </c:pt>
                  <c:pt idx="12">
                    <c:v>Guidence</c:v>
                  </c:pt>
                  <c:pt idx="13">
                    <c:v>Accessibility</c:v>
                  </c:pt>
                  <c:pt idx="14">
                    <c:v>Empathy</c:v>
                  </c:pt>
                  <c:pt idx="15">
                    <c:v>Clear Vision</c:v>
                  </c:pt>
                  <c:pt idx="16">
                    <c:v>Clear Feedback</c:v>
                  </c:pt>
                </c:lvl>
                <c:lvl>
                  <c:pt idx="0">
                    <c:v>Intent to Stay</c:v>
                  </c:pt>
                  <c:pt idx="6">
                    <c:v>Satisfaction</c:v>
                  </c:pt>
                  <c:pt idx="11">
                    <c:v>Transformation Leadership</c:v>
                  </c:pt>
                </c:lvl>
              </c:multiLvlStrCache>
            </c:multiLvlStrRef>
          </c:cat>
          <c:val>
            <c:numRef>
              <c:f>Sheet2!$K$28:$K$47</c:f>
              <c:numCache>
                <c:formatCode>0.00%;\-0.00%;0.00%</c:formatCode>
                <c:ptCount val="17"/>
                <c:pt idx="0">
                  <c:v>0.58064516129032262</c:v>
                </c:pt>
                <c:pt idx="1">
                  <c:v>0.54838709677419351</c:v>
                </c:pt>
                <c:pt idx="2">
                  <c:v>0.5</c:v>
                </c:pt>
                <c:pt idx="3">
                  <c:v>0.4838709677419355</c:v>
                </c:pt>
                <c:pt idx="4">
                  <c:v>0.37096774193548387</c:v>
                </c:pt>
                <c:pt idx="5">
                  <c:v>0.24193548387096775</c:v>
                </c:pt>
                <c:pt idx="6">
                  <c:v>0.54838709677419351</c:v>
                </c:pt>
                <c:pt idx="7">
                  <c:v>0.5</c:v>
                </c:pt>
                <c:pt idx="8">
                  <c:v>0.46774193548387094</c:v>
                </c:pt>
                <c:pt idx="9">
                  <c:v>0.40322580645161288</c:v>
                </c:pt>
                <c:pt idx="10">
                  <c:v>0.40322580645161288</c:v>
                </c:pt>
                <c:pt idx="11">
                  <c:v>0.40322580645161288</c:v>
                </c:pt>
                <c:pt idx="12">
                  <c:v>0.38709677419354838</c:v>
                </c:pt>
                <c:pt idx="13">
                  <c:v>0.35483870967741937</c:v>
                </c:pt>
                <c:pt idx="14">
                  <c:v>0.33870967741935482</c:v>
                </c:pt>
                <c:pt idx="15">
                  <c:v>0.32258064516129031</c:v>
                </c:pt>
                <c:pt idx="16">
                  <c:v>0.30645161290322581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A-42E4-9E08-ECE7AAB36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383695"/>
        <c:axId val="724379375"/>
      </c:barChart>
      <c:catAx>
        <c:axId val="72438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379375"/>
        <c:crosses val="autoZero"/>
        <c:auto val="1"/>
        <c:lblAlgn val="ctr"/>
        <c:lblOffset val="100"/>
        <c:noMultiLvlLbl val="0"/>
      </c:catAx>
      <c:valAx>
        <c:axId val="7243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38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464820</xdr:colOff>
      <xdr:row>8</xdr:row>
      <xdr:rowOff>3810</xdr:rowOff>
    </xdr:from>
    <xdr:to>
      <xdr:col>12</xdr:col>
      <xdr:colOff>167640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0B216-77AA-398B-FC36-F8BC16617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33</xdr:row>
      <xdr:rowOff>3810</xdr:rowOff>
    </xdr:from>
    <xdr:to>
      <xdr:col>2</xdr:col>
      <xdr:colOff>563880</xdr:colOff>
      <xdr:row>46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4C31F-3845-8F49-654B-0F94B5FC5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10746</xdr:colOff>
      <xdr:row>48</xdr:row>
      <xdr:rowOff>127879</xdr:rowOff>
    </xdr:from>
    <xdr:to>
      <xdr:col>11</xdr:col>
      <xdr:colOff>625427</xdr:colOff>
      <xdr:row>66</xdr:row>
      <xdr:rowOff>8792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E0E2F2-AD7B-FE57-B71F-FC72748DE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7633217589" backgroundQuery="1" createdVersion="8" refreshedVersion="8" minRefreshableVersion="3" recordCount="0" supportSubquery="1" supportAdvancedDrill="1" xr:uid="{4D0FAC61-5FEA-45C0-ABCB-C03B5BD162FA}">
  <cacheSource type="external" connectionId="19"/>
  <cacheFields count="3">
    <cacheField name="[Dim Questions Metadata].[Category].[Category]" caption="Category" numFmtId="0" hierarchy="17" level="1">
      <sharedItems count="3">
        <s v="Intent to Stay"/>
        <s v="Satisfaction"/>
        <s v="Transformation Leadership"/>
      </sharedItems>
    </cacheField>
    <cacheField name="[Dim Questions Metadata].[Sub Category].[Sub Category]" caption="Sub Category" numFmtId="0" hierarchy="16" level="1">
      <sharedItems count="16">
        <s v="Compensation &amp; Benefits"/>
        <s v="Job Stability"/>
        <s v="Personal Investment"/>
        <s v="Supportive Leadership"/>
        <s v="Team Culture"/>
        <s v="Work-Life Balance"/>
        <s v="Accessibility"/>
        <s v="Clear objectives"/>
        <s v="Healthy workplace"/>
        <s v="Reliable tools"/>
        <s v="Simple Approval Process"/>
        <s v="Clear Feedback"/>
        <s v="Clear Vision"/>
        <s v="Empathy"/>
        <s v="Empowerment"/>
        <s v="Guidence"/>
      </sharedItems>
    </cacheField>
    <cacheField name="[Measures].[Checklist Selection Rate]" caption="Checklist Selection Rate" numFmtId="0" hierarchy="36" level="32767"/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0" memberValueDatatype="130" unbalanced="0"/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0" memberValueDatatype="130" unbalanced="0"/>
    <cacheHierarchy uniqueName="[Dim Demographics].[Tenure]" caption="Tenure" attribute="1" defaultMemberUniqueName="[Dim Demographics].[Tenure].[All]" allUniqueName="[Dim Demographics].[Tenure].[All]" dimensionUniqueName="[Dim Demographics]" displayFolder="" count="0" memberValueDatatype="130" unbalanced="0"/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0" memberValueDatatype="130" unbalanced="0"/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2" memberValueDatatype="130" unbalanced="0">
      <fieldsUsage count="2">
        <fieldUsage x="-1"/>
        <fieldUsage x="1"/>
      </fieldsUsage>
    </cacheHierarchy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2" memberValueDatatype="130" unbalanced="0">
      <fieldsUsage count="2">
        <fieldUsage x="-1"/>
        <fieldUsage x="0"/>
      </fieldsUsage>
    </cacheHierarchy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 oneField="1">
      <fieldsUsage count="1">
        <fieldUsage x="2"/>
      </fieldsUsage>
    </cacheHierarchy>
    <cacheHierarchy uniqueName="[Measures].[Average Score]" caption="Average Score" measure="1" displayFolder="" measureGroup="FScales_Final" count="0"/>
    <cacheHierarchy uniqueName="[Measures].[St. Dev bet. Scores]" caption="St. Dev bet. Scores" measure="1" displayFolder="" measureGroup="FScales_Final" count="0"/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7634143521" backgroundQuery="1" createdVersion="8" refreshedVersion="8" minRefreshableVersion="3" recordCount="0" supportSubquery="1" supportAdvancedDrill="1" xr:uid="{8E3785C9-37AF-4272-8547-BEB25E432BA6}">
  <cacheSource type="external" connectionId="19"/>
  <cacheFields count="2">
    <cacheField name="[Measures].[Distinct Count of Index 3]" caption="Distinct Count of Index 3" numFmtId="0" hierarchy="34" level="32767"/>
    <cacheField name="[Dim Comments].[Category Alignment].[Category Alignment]" caption="Category Alignment" numFmtId="0" hierarchy="9" level="1">
      <sharedItems count="3">
        <s v="Intent to Stay"/>
        <s v="Satisfaction"/>
        <s v="Transformation Leadership"/>
      </sharedItems>
    </cacheField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2" memberValueDatatype="130" unbalanced="0">
      <fieldsUsage count="2">
        <fieldUsage x="-1"/>
        <fieldUsage x="1"/>
      </fieldsUsage>
    </cacheHierarchy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0" memberValueDatatype="130" unbalanced="0"/>
    <cacheHierarchy uniqueName="[Dim Demographics].[Tenure]" caption="Tenure" attribute="1" defaultMemberUniqueName="[Dim Demographics].[Tenure].[All]" allUniqueName="[Dim Demographics].[Tenure].[All]" dimensionUniqueName="[Dim Demographics]" displayFolder="" count="0" memberValueDatatype="130" unbalanced="0"/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0" memberValueDatatype="130" unbalanced="0"/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0" memberValueDatatype="130" unbalanced="0"/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0" memberValueDatatype="130" unbalanced="0"/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/>
    <cacheHierarchy uniqueName="[Measures].[Average Score]" caption="Average Score" measure="1" displayFolder="" measureGroup="FScales_Final" count="0"/>
    <cacheHierarchy uniqueName="[Measures].[St. Dev bet. Scores]" caption="St. Dev bet. Scores" measure="1" displayFolder="" measureGroup="FScales_Final" count="0"/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7634953706" backgroundQuery="1" createdVersion="8" refreshedVersion="8" minRefreshableVersion="3" recordCount="0" supportSubquery="1" supportAdvancedDrill="1" xr:uid="{CF9F2AAA-DDD2-47D5-97AE-C3F1DC82EA74}">
  <cacheSource type="external" connectionId="19"/>
  <cacheFields count="2">
    <cacheField name="[Dim Demographics].[Gender].[Gender]" caption="Gender" numFmtId="0" hierarchy="11" level="1">
      <sharedItems count="3">
        <s v="Female"/>
        <s v="Male"/>
        <s v="Prefer not to say"/>
      </sharedItems>
    </cacheField>
    <cacheField name="[Measures].[Distinct Count of Index 2]" caption="Distinct Count of Index 2" numFmtId="0" hierarchy="29" level="32767"/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0" memberValueDatatype="130" unbalanced="0"/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2" memberValueDatatype="130" unbalanced="0">
      <fieldsUsage count="2">
        <fieldUsage x="-1"/>
        <fieldUsage x="0"/>
      </fieldsUsage>
    </cacheHierarchy>
    <cacheHierarchy uniqueName="[Dim Demographics].[Tenure]" caption="Tenure" attribute="1" defaultMemberUniqueName="[Dim Demographics].[Tenure].[All]" allUniqueName="[Dim Demographics].[Tenure].[All]" dimensionUniqueName="[Dim Demographics]" displayFolder="" count="0" memberValueDatatype="130" unbalanced="0"/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0" memberValueDatatype="130" unbalanced="0"/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0" memberValueDatatype="130" unbalanced="0"/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0" memberValueDatatype="130" unbalanced="0"/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/>
    <cacheHierarchy uniqueName="[Measures].[Average Score]" caption="Average Score" measure="1" displayFolder="" measureGroup="FScales_Final" count="0"/>
    <cacheHierarchy uniqueName="[Measures].[St. Dev bet. Scores]" caption="St. Dev bet. Scores" measure="1" displayFolder="" measureGroup="FScales_Final" count="0"/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7636226853" backgroundQuery="1" createdVersion="8" refreshedVersion="8" minRefreshableVersion="3" recordCount="0" supportSubquery="1" supportAdvancedDrill="1" xr:uid="{C2296310-505E-4AFC-9754-31C0AA602749}">
  <cacheSource type="external" connectionId="19"/>
  <cacheFields count="2">
    <cacheField name="[Dim Demographics].[Department].[Department]" caption="Department" numFmtId="0" hierarchy="13" level="1">
      <sharedItems count="5">
        <s v="Commercial / Sales"/>
        <s v="Customer Care"/>
        <s v="Data &amp; Analytics"/>
        <s v="Support Functions (HR, Finance, Legal)"/>
        <s v="Technology / Network"/>
      </sharedItems>
    </cacheField>
    <cacheField name="[Measures].[Distinct Count of Index 2]" caption="Distinct Count of Index 2" numFmtId="0" hierarchy="29" level="32767"/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0" memberValueDatatype="130" unbalanced="0"/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0" memberValueDatatype="130" unbalanced="0"/>
    <cacheHierarchy uniqueName="[Dim Demographics].[Tenure]" caption="Tenure" attribute="1" defaultMemberUniqueName="[Dim Demographics].[Tenure].[All]" allUniqueName="[Dim Demographics].[Tenure].[All]" dimensionUniqueName="[Dim Demographics]" displayFolder="" count="0" memberValueDatatype="130" unbalanced="0"/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2" memberValueDatatype="130" unbalanced="0">
      <fieldsUsage count="2">
        <fieldUsage x="-1"/>
        <fieldUsage x="0"/>
      </fieldsUsage>
    </cacheHierarchy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0" memberValueDatatype="130" unbalanced="0"/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0" memberValueDatatype="130" unbalanced="0"/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/>
    <cacheHierarchy uniqueName="[Measures].[Average Score]" caption="Average Score" measure="1" displayFolder="" measureGroup="FScales_Final" count="0"/>
    <cacheHierarchy uniqueName="[Measures].[St. Dev bet. Scores]" caption="St. Dev bet. Scores" measure="1" displayFolder="" measureGroup="FScales_Final" count="0"/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7637152777" backgroundQuery="1" createdVersion="8" refreshedVersion="8" minRefreshableVersion="3" recordCount="0" supportSubquery="1" supportAdvancedDrill="1" xr:uid="{0563105E-1438-405E-80D8-CEFDDFCA8FA0}">
  <cacheSource type="external" connectionId="19"/>
  <cacheFields count="2">
    <cacheField name="[Dim Demographics].[Tenure].[Tenure]" caption="Tenure" numFmtId="0" hierarchy="12" level="1">
      <sharedItems count="4">
        <s v="1 to 3 years"/>
        <s v="3 to 5 years"/>
        <s v="Less than 1 year"/>
        <s v="More than 5 years"/>
      </sharedItems>
    </cacheField>
    <cacheField name="[Measures].[Distinct Count of Index 2]" caption="Distinct Count of Index 2" numFmtId="0" hierarchy="29" level="32767"/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0" memberValueDatatype="130" unbalanced="0"/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0" memberValueDatatype="130" unbalanced="0"/>
    <cacheHierarchy uniqueName="[Dim Demographics].[Tenure]" caption="Tenure" attribute="1" defaultMemberUniqueName="[Dim Demographics].[Tenure].[All]" allUniqueName="[Dim Demographics].[Tenure].[All]" dimensionUniqueName="[Dim Demographics]" displayFolder="" count="2" memberValueDatatype="130" unbalanced="0">
      <fieldsUsage count="2">
        <fieldUsage x="-1"/>
        <fieldUsage x="0"/>
      </fieldsUsage>
    </cacheHierarchy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0" memberValueDatatype="130" unbalanced="0"/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0" memberValueDatatype="130" unbalanced="0"/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0" memberValueDatatype="130" unbalanced="0"/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/>
    <cacheHierarchy uniqueName="[Measures].[Average Score]" caption="Average Score" measure="1" displayFolder="" measureGroup="FScales_Final" count="0"/>
    <cacheHierarchy uniqueName="[Measures].[St. Dev bet. Scores]" caption="St. Dev bet. Scores" measure="1" displayFolder="" measureGroup="FScales_Final" count="0"/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3.298300694441" backgroundQuery="1" createdVersion="8" refreshedVersion="8" minRefreshableVersion="3" recordCount="0" supportSubquery="1" supportAdvancedDrill="1" xr:uid="{19A56E57-86CD-4F1F-A021-2AADF4509AE7}">
  <cacheSource type="external" connectionId="19"/>
  <cacheFields count="4">
    <cacheField name="[Measures].[Average Score]" caption="Average Score" numFmtId="0" hierarchy="37" level="32767"/>
    <cacheField name="[Dim Questions Metadata].[Category].[Category]" caption="Category" numFmtId="0" hierarchy="17" level="1">
      <sharedItems count="3">
        <s v="Intent to Stay"/>
        <s v="Satisfaction"/>
        <s v="Transformation Leadership"/>
      </sharedItems>
    </cacheField>
    <cacheField name="[Dim Questions Metadata].[Sub Category].[Sub Category]" caption="Sub Category" numFmtId="0" hierarchy="16" level="1">
      <sharedItems count="6">
        <s v="1-Year Confidence"/>
        <s v="Culture &amp; Belonging"/>
        <s v="Recognition"/>
        <s v="Coaching Support"/>
        <s v="Shared Vision"/>
        <s v="Values Alignment"/>
      </sharedItems>
    </cacheField>
    <cacheField name="[Measures].[St. Dev bet. Scores]" caption="St. Dev bet. Scores" numFmtId="0" hierarchy="38" level="32767"/>
  </cacheFields>
  <cacheHierarchies count="46">
    <cacheHierarchy uniqueName="[Dim Categories].[Index]" caption="Index" attribute="1" defaultMemberUniqueName="[Dim Categories].[Index].[All]" allUniqueName="[Dim Categories].[Index].[All]" dimensionUniqueName="[Dim Categories]" displayFolder="" count="0" memberValueDatatype="20" unbalanced="0"/>
    <cacheHierarchy uniqueName="[Dim Categories].[Growth Metric]" caption="Growth Metric" attribute="1" defaultMemberUniqueName="[Dim Categories].[Growth Metric].[All]" allUniqueName="[Dim Categories].[Growth Metric].[All]" dimensionUniqueName="[Dim Categories]" displayFolder="" count="0" memberValueDatatype="130" unbalanced="0"/>
    <cacheHierarchy uniqueName="[Dim Categories].[Well-Being Metric]" caption="Well-Being Metric" attribute="1" defaultMemberUniqueName="[Dim Categories].[Well-Being Metric].[All]" allUniqueName="[Dim Categories].[Well-Being Metric].[All]" dimensionUniqueName="[Dim Categories]" displayFolder="" count="0" memberValueDatatype="130" unbalanced="0"/>
    <cacheHierarchy uniqueName="[Dim Categories].[Fullfillment Metric]" caption="Fullfillment Metric" attribute="1" defaultMemberUniqueName="[Dim Categories].[Fullfillment Metric].[All]" allUniqueName="[Dim Categories].[Fullfillment Metric].[All]" dimensionUniqueName="[Dim Categories]" displayFolder="" count="0" memberValueDatatype="130" unbalanced="0"/>
    <cacheHierarchy uniqueName="[Dim Categories].[Job Search Metric]" caption="Job Search Metric" attribute="1" defaultMemberUniqueName="[Dim Categories].[Job Search Metric].[All]" allUniqueName="[Dim Categories].[Job Search Metric].[All]" dimensionUniqueName="[Dim Categories]" displayFolder="" count="0" memberValueDatatype="130" unbalanced="0"/>
    <cacheHierarchy uniqueName="[Dim Categories].[Training Metric]" caption="Training Metric" attribute="1" defaultMemberUniqueName="[Dim Categories].[Training Metric].[All]" allUniqueName="[Dim Categories].[Training Metric].[All]" dimensionUniqueName="[Dim Categories]" displayFolder="" count="0" memberValueDatatype="130" unbalanced="0"/>
    <cacheHierarchy uniqueName="[Dim Comments].[Index]" caption="Index" attribute="1" defaultMemberUniqueName="[Dim Comments].[Index].[All]" allUniqueName="[Dim Comments].[Index].[All]" dimensionUniqueName="[Dim Comments]" displayFolder="" count="0" memberValueDatatype="20" unbalanced="0"/>
    <cacheHierarchy uniqueName="[Dim Comments].[Employee Feedback]" caption="Employee Feedback" attribute="1" defaultMemberUniqueName="[Dim Comments].[Employee Feedback].[All]" allUniqueName="[Dim Comments].[Employee Feedback].[All]" dimensionUniqueName="[Dim Comments]" displayFolder="" count="0" memberValueDatatype="130" unbalanced="0"/>
    <cacheHierarchy uniqueName="[Dim Comments].[Theme]" caption="Theme" attribute="1" defaultMemberUniqueName="[Dim Comments].[Theme].[All]" allUniqueName="[Dim Comments].[Theme].[All]" dimensionUniqueName="[Dim Comments]" displayFolder="" count="0" memberValueDatatype="130" unbalanced="0"/>
    <cacheHierarchy uniqueName="[Dim Comments].[Category Alignment]" caption="Category Alignment" attribute="1" defaultMemberUniqueName="[Dim Comments].[Category Alignment].[All]" allUniqueName="[Dim Comments].[Category Alignment].[All]" dimensionUniqueName="[Dim Comments]" displayFolder="" count="0" memberValueDatatype="130" unbalanced="0"/>
    <cacheHierarchy uniqueName="[Dim Demographics].[Index]" caption="Index" attribute="1" defaultMemberUniqueName="[Dim Demographics].[Index].[All]" allUniqueName="[Dim Demographics].[Index].[All]" dimensionUniqueName="[Dim Demographics]" displayFolder="" count="0" memberValueDatatype="20" unbalanced="0"/>
    <cacheHierarchy uniqueName="[Dim Demographics].[Gender]" caption="Gender" attribute="1" defaultMemberUniqueName="[Dim Demographics].[Gender].[All]" allUniqueName="[Dim Demographics].[Gender].[All]" dimensionUniqueName="[Dim Demographics]" displayFolder="" count="0" memberValueDatatype="130" unbalanced="0"/>
    <cacheHierarchy uniqueName="[Dim Demographics].[Tenure]" caption="Tenure" attribute="1" defaultMemberUniqueName="[Dim Demographics].[Tenure].[All]" allUniqueName="[Dim Demographics].[Tenure].[All]" dimensionUniqueName="[Dim Demographics]" displayFolder="" count="0" memberValueDatatype="130" unbalanced="0"/>
    <cacheHierarchy uniqueName="[Dim Demographics].[Department]" caption="Department" attribute="1" defaultMemberUniqueName="[Dim Demographics].[Department].[All]" allUniqueName="[Dim Demographics].[Department].[All]" dimensionUniqueName="[Dim Demographics]" displayFolder="" count="0" memberValueDatatype="130" unbalanced="0"/>
    <cacheHierarchy uniqueName="[Dim Questions Metadata].[Q_ID]" caption="Q_ID" attribute="1" defaultMemberUniqueName="[Dim Questions Metadata].[Q_ID].[All]" allUniqueName="[Dim Questions Metadata].[Q_ID].[All]" dimensionUniqueName="[Dim Questions Metadata]" displayFolder="" count="0" memberValueDatatype="20" unbalanced="0"/>
    <cacheHierarchy uniqueName="[Dim Questions Metadata].[Question]" caption="Question" attribute="1" defaultMemberUniqueName="[Dim Questions Metadata].[Question].[All]" allUniqueName="[Dim Questions Metadata].[Question].[All]" dimensionUniqueName="[Dim Questions Metadata]" displayFolder="" count="0" memberValueDatatype="130" unbalanced="0"/>
    <cacheHierarchy uniqueName="[Dim Questions Metadata].[Sub Category]" caption="Sub Category" attribute="1" defaultMemberUniqueName="[Dim Questions Metadata].[Sub Category].[All]" allUniqueName="[Dim Questions Metadata].[Sub Category].[All]" dimensionUniqueName="[Dim Questions Metadata]" displayFolder="" count="2" memberValueDatatype="130" unbalanced="0">
      <fieldsUsage count="2">
        <fieldUsage x="-1"/>
        <fieldUsage x="2"/>
      </fieldsUsage>
    </cacheHierarchy>
    <cacheHierarchy uniqueName="[Dim Questions Metadata].[Category]" caption="Category" attribute="1" defaultMemberUniqueName="[Dim Questions Metadata].[Category].[All]" allUniqueName="[Dim Questions Metadata].[Category].[All]" dimensionUniqueName="[Dim Questions Metadata]" displayFolder="" count="2" memberValueDatatype="130" unbalanced="0">
      <fieldsUsage count="2">
        <fieldUsage x="-1"/>
        <fieldUsage x="1"/>
      </fieldsUsage>
    </cacheHierarchy>
    <cacheHierarchy uniqueName="[Dim Questions Metadata].[Fact_Table_Target]" caption="Fact_Table_Target" attribute="1" defaultMemberUniqueName="[Dim Questions Metadata].[Fact_Table_Target].[All]" allUniqueName="[Dim Questions Metadata].[Fact_Table_Target].[All]" dimensionUniqueName="[Dim Questions Metadata]" displayFolder="" count="0" memberValueDatatype="130" unbalanced="0"/>
    <cacheHierarchy uniqueName="[Dim Questions Metadata].[Data_Type]" caption="Data_Type" attribute="1" defaultMemberUniqueName="[Dim Questions Metadata].[Data_Type].[All]" allUniqueName="[Dim Questions Metadata].[Data_Type].[All]" dimensionUniqueName="[Dim Questions Metadata]" displayFolder="" count="0" memberValueDatatype="130" unbalanced="0"/>
    <cacheHierarchy uniqueName="[FChecklists_Final].[Index]" caption="Index" attribute="1" defaultMemberUniqueName="[FChecklists_Final].[Index].[All]" allUniqueName="[FChecklists_Final].[Index].[All]" dimensionUniqueName="[FChecklists_Final]" displayFolder="" count="0" memberValueDatatype="20" unbalanced="0"/>
    <cacheHierarchy uniqueName="[FChecklists_Final].[Q_ID]" caption="Q_ID" attribute="1" defaultMemberUniqueName="[FChecklists_Final].[Q_ID].[All]" allUniqueName="[FChecklists_Final].[Q_ID].[All]" dimensionUniqueName="[FChecklists_Final]" displayFolder="" count="0" memberValueDatatype="20" unbalanced="0"/>
    <cacheHierarchy uniqueName="[FChecklists_Final].[Checked Value]" caption="Checked Value" attribute="1" defaultMemberUniqueName="[FChecklists_Final].[Checked Value].[All]" allUniqueName="[FChecklists_Final].[Checked Value].[All]" dimensionUniqueName="[FChecklists_Final]" displayFolder="" count="0" memberValueDatatype="20" unbalanced="0"/>
    <cacheHierarchy uniqueName="[FScales_Final].[Index]" caption="Index" attribute="1" defaultMemberUniqueName="[FScales_Final].[Index].[All]" allUniqueName="[FScales_Final].[Index].[All]" dimensionUniqueName="[FScales_Final]" displayFolder="" count="0" memberValueDatatype="20" unbalanced="0"/>
    <cacheHierarchy uniqueName="[FScales_Final].[Q_ID]" caption="Q_ID" attribute="1" defaultMemberUniqueName="[FScales_Final].[Q_ID].[All]" allUniqueName="[FScales_Final].[Q_ID].[All]" dimensionUniqueName="[FScales_Final]" displayFolder="" count="0" memberValueDatatype="20" unbalanced="0"/>
    <cacheHierarchy uniqueName="[FScales_Final].[Value]" caption="Value" attribute="1" defaultMemberUniqueName="[FScales_Final].[Value].[All]" allUniqueName="[FScales_Final].[Value].[All]" dimensionUniqueName="[FScales_Final]" displayFolder="" count="0" memberValueDatatype="20" unbalanced="0"/>
    <cacheHierarchy uniqueName="[Measures].[Sum of Index]" caption="Sum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Index]" caption="Distinct Count of Index" measure="1" displayFolder="" measureGroup="Dim Demographic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dex 2]" caption="Sum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Index 2]" caption="Distinct Count of Index 2" measure="1" displayFolder="" measureGroup="FChecklists_Fina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]" caption="Sum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hecked Value]" caption="Sum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Value]" caption="Count of Value" measure="1" displayFolder="" measureGroup="FScales_Fin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ndex 3]" caption="Sum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Index 3]" caption="Distinct Count of Index 3" measure="1" displayFolder="" measureGroup="FScales_Fin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Checked Value]" caption="Average of Checked Value" measure="1" displayFolder="" measureGroup="FChecklists_Final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hecklist Selection Rate]" caption="Checklist Selection Rate" measure="1" displayFolder="" measureGroup="FChecklists_Final" count="0"/>
    <cacheHierarchy uniqueName="[Measures].[Average Score]" caption="Average Score" measure="1" displayFolder="" measureGroup="FScales_Final" count="0" oneField="1">
      <fieldsUsage count="1">
        <fieldUsage x="0"/>
      </fieldsUsage>
    </cacheHierarchy>
    <cacheHierarchy uniqueName="[Measures].[St. Dev bet. Scores]" caption="St. Dev bet. Scores" measure="1" displayFolder="" measureGroup="FScales_Final" count="0" oneField="1">
      <fieldsUsage count="1">
        <fieldUsage x="3"/>
      </fieldsUsage>
    </cacheHierarchy>
    <cacheHierarchy uniqueName="[Measures].[__XL_Count Dim Questions Metadata]" caption="__XL_Count Dim Questions Metadata" measure="1" displayFolder="" measureGroup="Dim Questions Metadata" count="0" hidden="1"/>
    <cacheHierarchy uniqueName="[Measures].[__XL_Count Dim Categories]" caption="__XL_Count Dim Categories" measure="1" displayFolder="" measureGroup="Dim Categories" count="0" hidden="1"/>
    <cacheHierarchy uniqueName="[Measures].[__XL_Count Dim Comments]" caption="__XL_Count Dim Comments" measure="1" displayFolder="" measureGroup="Dim Comments" count="0" hidden="1"/>
    <cacheHierarchy uniqueName="[Measures].[__XL_Count Dim Demographics]" caption="__XL_Count Dim Demographics" measure="1" displayFolder="" measureGroup="Dim Demographics" count="0" hidden="1"/>
    <cacheHierarchy uniqueName="[Measures].[__XL_Count FScales_Final]" caption="__XL_Count FScales_Final" measure="1" displayFolder="" measureGroup="FScales_Final" count="0" hidden="1"/>
    <cacheHierarchy uniqueName="[Measures].[__XL_Count FChecklists_Final]" caption="__XL_Count FChecklists_Final" measure="1" displayFolder="" measureGroup="FChecklists_Final" count="0" hidden="1"/>
    <cacheHierarchy uniqueName="[Measures].[__No measures defined]" caption="__No measures defined" measure="1" displayFolder="" count="0" hidden="1"/>
  </cacheHierarchies>
  <kpis count="0"/>
  <dimensions count="7">
    <dimension name="Dim Categories" uniqueName="[Dim Categories]" caption="Dim Categories"/>
    <dimension name="Dim Comments" uniqueName="[Dim Comments]" caption="Dim Comments"/>
    <dimension name="Dim Demographics" uniqueName="[Dim Demographics]" caption="Dim Demographics"/>
    <dimension name="Dim Questions Metadata" uniqueName="[Dim Questions Metadata]" caption="Dim Questions Metadata"/>
    <dimension name="FChecklists_Final" uniqueName="[FChecklists_Final]" caption="FChecklists_Final"/>
    <dimension name="FScales_Final" uniqueName="[FScales_Final]" caption="FScales_Final"/>
    <dimension measure="1" name="Measures" uniqueName="[Measures]" caption="Measures"/>
  </dimensions>
  <measureGroups count="6">
    <measureGroup name="Dim Categories" caption="Dim Categories"/>
    <measureGroup name="Dim Comments" caption="Dim Comments"/>
    <measureGroup name="Dim Demographics" caption="Dim Demographics"/>
    <measureGroup name="Dim Questions Metadata" caption="Dim Questions Metadata"/>
    <measureGroup name="FChecklists_Final" caption="FChecklists_Final"/>
    <measureGroup name="FScales_Final" caption="FScales_Final"/>
  </measureGroups>
  <maps count="14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4233C-EF30-4AAE-9544-F67CC5BFFFCF}" name="PivotTable1" cacheId="2" applyNumberFormats="0" applyBorderFormats="0" applyFontFormats="0" applyPatternFormats="0" applyAlignmentFormats="0" applyWidthHeightFormats="1" dataCaption="Values" tag="94171079-3188-4693-88b2-4cad0a736792" updatedVersion="8" minRefreshableVersion="3" useAutoFormatting="1" itemPrintTitles="1" createdVersion="8" indent="0" outline="1" outlineData="1" multipleFieldFilters="0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Index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Index"/>
    <pivotHierarchy dragToData="1"/>
    <pivotHierarchy dragToData="1" caption="Distinct Count of Index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Demographics]"/>
        <x15:activeTabTopLevelEntity name="[FChecklists_Fi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02141-5141-4906-AF58-AF6BF4733740}" name="PivotTable3" cacheId="3" applyNumberFormats="0" applyBorderFormats="0" applyFontFormats="0" applyPatternFormats="0" applyAlignmentFormats="0" applyWidthHeightFormats="1" dataCaption="Values" tag="9375b52c-b4b3-4a39-96e1-269d083e918f" updatedVersion="8" minRefreshableVersion="3" useAutoFormatting="1" itemPrintTitles="1" createdVersion="8" indent="0" outline="1" outlineData="1" multipleFieldFilters="0" chartFormat="1">
  <location ref="J1:K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Distinct Count of Index" fld="1" subtotal="count" showDataAs="percentOfTotal" baseField="0" baseItem="3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Index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Demographics]"/>
        <x15:activeTabTopLevelEntity name="[FChecklists_Fi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58F57-CB35-44AD-9FFB-A6A63F9FB76D}" name="PivotTable2" cacheId="4" applyNumberFormats="0" applyBorderFormats="0" applyFontFormats="0" applyPatternFormats="0" applyAlignmentFormats="0" applyWidthHeightFormats="1" dataCaption="Values" tag="f8f0ead5-7437-416e-9aa2-21e07cbcd418" updatedVersion="8" minRefreshableVersion="3" useAutoFormatting="1" itemPrintTitles="1" createdVersion="8" indent="0" outline="1" outlineData="1" multipleFieldFilters="0">
  <location ref="E1:F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Index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Index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Demographics]"/>
        <x15:activeTabTopLevelEntity name="[FChecklists_Fi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B598B-DD67-42D0-9CAB-6664731F0533}" name="PivotTable6" cacheId="5" applyNumberFormats="0" applyBorderFormats="0" applyFontFormats="0" applyPatternFormats="0" applyAlignmentFormats="0" applyWidthHeightFormats="1" dataCaption="Values" tag="82595e50-2d0b-4b31-b612-89ef5d66be8e" updatedVersion="8" minRefreshableVersion="3" useAutoFormatting="1" rowGrandTotals="0" colGrandTotals="0" itemPrintTitles="1" createdVersion="8" indent="0" compact="0" compactData="0" multipleFieldFilters="0">
  <location ref="S27:V33" firstHeaderRow="0" firstDataRow="1" firstDataCol="2"/>
  <pivotFields count="4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2">
    <field x="1"/>
    <field x="2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3" subtotal="count" baseField="0" baseItem="0"/>
  </dataFields>
  <formats count="4">
    <format dxfId="7">
      <pivotArea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2" count="2" selected="0">
            <x v="3"/>
            <x v="4"/>
          </reference>
        </references>
      </pivotArea>
    </format>
    <format dxfId="6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2" selected="0">
            <x v="3"/>
            <x v="4"/>
          </reference>
        </references>
      </pivotArea>
    </format>
    <format dxfId="5">
      <pivotArea dataOnly="0" labelOnly="1" outline="0" offset="IV1:IV2" fieldPosition="0">
        <references count="1">
          <reference field="1" count="1">
            <x v="2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2"/>
          </reference>
          <reference field="2" count="2">
            <x v="3"/>
            <x v="4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cales_Final]"/>
        <x15:activeTabTopLevelEntity name="[Dim Questions Meta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30329-B694-477C-B28A-096977EAA97A}" name="PivotTable5" cacheId="0" applyNumberFormats="0" applyBorderFormats="0" applyFontFormats="0" applyPatternFormats="0" applyAlignmentFormats="0" applyWidthHeightFormats="1" dataCaption="Values" tag="363163b5-fb20-4b67-924d-825c591ba369" updatedVersion="8" minRefreshableVersion="3" useAutoFormatting="1" subtotalHiddenItems="1" rowGrandTotals="0" colGrandTotals="0" itemPrintTitles="1" createdVersion="8" indent="0" outline="1" outlineData="1" multipleFieldFilters="0" chartFormat="1">
  <location ref="J27:K4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20">
    <i>
      <x/>
    </i>
    <i r="1">
      <x/>
    </i>
    <i r="1">
      <x v="3"/>
    </i>
    <i r="1">
      <x v="5"/>
    </i>
    <i r="1">
      <x v="2"/>
    </i>
    <i r="1">
      <x v="1"/>
    </i>
    <i r="1">
      <x v="4"/>
    </i>
    <i>
      <x v="1"/>
    </i>
    <i r="1">
      <x v="9"/>
    </i>
    <i r="1">
      <x v="7"/>
    </i>
    <i r="1">
      <x v="8"/>
    </i>
    <i r="1">
      <x v="10"/>
    </i>
    <i r="1">
      <x v="6"/>
    </i>
    <i>
      <x v="2"/>
    </i>
    <i r="1">
      <x v="14"/>
    </i>
    <i r="1">
      <x v="15"/>
    </i>
    <i r="1">
      <x v="6"/>
    </i>
    <i r="1">
      <x v="13"/>
    </i>
    <i r="1">
      <x v="12"/>
    </i>
    <i r="1">
      <x v="11"/>
    </i>
  </rowItems>
  <colItems count="1">
    <i/>
  </colItems>
  <dataFields count="1">
    <dataField fld="2" subtotal="count" baseField="0" baseItem="0"/>
  </dataFields>
  <formats count="6">
    <format dxfId="13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">
      <pivotArea collapsedLevelsAreSubtotals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9">
      <pivotArea collapsedLevelsAreSubtotals="1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  <format dxfId="8">
      <pivotArea dataOnly="0" labelOnly="1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Checked Value"/>
    <pivotHierarchy dragToData="1"/>
    <pivotHierarchy dragToData="1"/>
    <pivotHierarchy dragToData="1" caption="Distinct Count of Index"/>
    <pivotHierarchy dragToData="1" caption="Percentage of Category (Average of values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Questions Metadata]"/>
        <x15:activeTabTopLevelEntity name="[FScales_Final]"/>
        <x15:activeTabTopLevelEntity name="[FChecklists_Fi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97C3A-01F9-4316-9CD2-465A76C9FB61}" name="PivotTable4" cacheId="1" applyNumberFormats="0" applyBorderFormats="0" applyFontFormats="0" applyPatternFormats="0" applyAlignmentFormats="0" applyWidthHeightFormats="1" dataCaption="Values" tag="19c0fee1-28cf-4f09-9f67-78d51b64dc68" updatedVersion="8" minRefreshableVersion="3" useAutoFormatting="1" subtotalHiddenItems="1" itemPrintTitles="1" createdVersion="8" indent="0" outline="1" outlineData="1" multipleFieldFilters="0" chartFormat="1">
  <location ref="A27:B3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Distinct Count of Index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Value"/>
    <pivotHierarchy dragToData="1"/>
    <pivotHierarchy dragToData="1" caption="Distinct Count of Index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Questions Metadata]"/>
        <x15:activeTabTopLevelEntity name="[FScales_Final]"/>
        <x15:activeTabTopLevelEntity name="[FChecklists_Final]"/>
        <x15:activeTabTopLevelEntity name="[Dim Com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B157-9E0A-4A05-93EF-E7E150D156A1}">
  <dimension ref="A7:A15"/>
  <sheetViews>
    <sheetView topLeftCell="A5" workbookViewId="0">
      <selection activeCell="A28" sqref="A28"/>
    </sheetView>
  </sheetViews>
  <sheetFormatPr defaultRowHeight="14.4" x14ac:dyDescent="0.3"/>
  <cols>
    <col min="1" max="1" width="112.21875" customWidth="1"/>
  </cols>
  <sheetData>
    <row r="7" spans="1:1" x14ac:dyDescent="0.3">
      <c r="A7" t="s">
        <v>0</v>
      </c>
    </row>
    <row r="8" spans="1:1" x14ac:dyDescent="0.3">
      <c r="A8" t="s">
        <v>2</v>
      </c>
    </row>
    <row r="9" spans="1:1" x14ac:dyDescent="0.3">
      <c r="A9" t="s">
        <v>6</v>
      </c>
    </row>
    <row r="10" spans="1:1" x14ac:dyDescent="0.3">
      <c r="A10" t="s">
        <v>1</v>
      </c>
    </row>
    <row r="11" spans="1:1" x14ac:dyDescent="0.3">
      <c r="A11" t="s">
        <v>7</v>
      </c>
    </row>
    <row r="12" spans="1:1" x14ac:dyDescent="0.3">
      <c r="A12" t="s">
        <v>3</v>
      </c>
    </row>
    <row r="14" spans="1:1" ht="28.8" x14ac:dyDescent="0.3">
      <c r="A14" s="1" t="s">
        <v>4</v>
      </c>
    </row>
    <row r="15" spans="1:1" x14ac:dyDescent="0.3">
      <c r="A1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0BDC-32DC-4A2C-ABC3-6133AAC9A776}">
  <dimension ref="A1:AK78"/>
  <sheetViews>
    <sheetView tabSelected="1" topLeftCell="A12" zoomScale="66" workbookViewId="0">
      <selection activeCell="O47" sqref="O47"/>
    </sheetView>
  </sheetViews>
  <sheetFormatPr defaultRowHeight="14.4" x14ac:dyDescent="0.3"/>
  <cols>
    <col min="1" max="1" width="14.6640625" bestFit="1" customWidth="1"/>
    <col min="2" max="2" width="20.44140625" bestFit="1" customWidth="1"/>
    <col min="3" max="3" width="20.109375" bestFit="1" customWidth="1"/>
    <col min="5" max="5" width="15.88671875" bestFit="1" customWidth="1"/>
    <col min="6" max="6" width="20.44140625" bestFit="1" customWidth="1"/>
    <col min="10" max="10" width="32.33203125" bestFit="1" customWidth="1"/>
    <col min="11" max="11" width="20.44140625" bestFit="1" customWidth="1"/>
    <col min="12" max="12" width="12.88671875" bestFit="1" customWidth="1"/>
    <col min="18" max="18" width="9.21875" customWidth="1"/>
    <col min="19" max="19" width="26" bestFit="1" customWidth="1"/>
    <col min="20" max="20" width="17.33203125" bestFit="1" customWidth="1"/>
    <col min="21" max="21" width="13.109375" bestFit="1" customWidth="1"/>
    <col min="22" max="22" width="16.88671875" bestFit="1" customWidth="1"/>
    <col min="31" max="31" width="25.88671875" bestFit="1" customWidth="1"/>
    <col min="32" max="32" width="17.33203125" bestFit="1" customWidth="1"/>
    <col min="33" max="33" width="18.77734375" customWidth="1"/>
    <col min="34" max="34" width="16.88671875" bestFit="1" customWidth="1"/>
  </cols>
  <sheetData>
    <row r="1" spans="1:11" x14ac:dyDescent="0.3">
      <c r="A1" s="2" t="s">
        <v>8</v>
      </c>
      <c r="B1" t="s">
        <v>13</v>
      </c>
      <c r="E1" s="2" t="s">
        <v>8</v>
      </c>
      <c r="F1" t="s">
        <v>13</v>
      </c>
      <c r="J1" s="2" t="s">
        <v>8</v>
      </c>
      <c r="K1" t="s">
        <v>13</v>
      </c>
    </row>
    <row r="2" spans="1:11" x14ac:dyDescent="0.3">
      <c r="A2" s="3" t="s">
        <v>9</v>
      </c>
      <c r="B2">
        <v>36</v>
      </c>
      <c r="E2" s="3" t="s">
        <v>14</v>
      </c>
      <c r="F2">
        <v>15</v>
      </c>
      <c r="J2" s="3" t="s">
        <v>22</v>
      </c>
      <c r="K2" s="4">
        <v>0.54838709677419351</v>
      </c>
    </row>
    <row r="3" spans="1:11" x14ac:dyDescent="0.3">
      <c r="A3" s="3" t="s">
        <v>10</v>
      </c>
      <c r="B3">
        <v>25</v>
      </c>
      <c r="E3" s="3" t="s">
        <v>15</v>
      </c>
      <c r="F3">
        <v>22</v>
      </c>
      <c r="J3" s="3" t="s">
        <v>21</v>
      </c>
      <c r="K3" s="4">
        <v>0.17741935483870969</v>
      </c>
    </row>
    <row r="4" spans="1:11" x14ac:dyDescent="0.3">
      <c r="A4" s="3" t="s">
        <v>11</v>
      </c>
      <c r="B4">
        <v>1</v>
      </c>
      <c r="E4" s="3" t="s">
        <v>16</v>
      </c>
      <c r="F4">
        <v>16</v>
      </c>
      <c r="J4" s="3" t="s">
        <v>20</v>
      </c>
      <c r="K4" s="4">
        <v>0.11290322580645161</v>
      </c>
    </row>
    <row r="5" spans="1:11" x14ac:dyDescent="0.3">
      <c r="A5" s="3" t="s">
        <v>12</v>
      </c>
      <c r="B5">
        <v>62</v>
      </c>
      <c r="E5" s="3" t="s">
        <v>17</v>
      </c>
      <c r="F5">
        <v>9</v>
      </c>
      <c r="J5" s="3" t="s">
        <v>19</v>
      </c>
      <c r="K5" s="4">
        <v>9.6774193548387094E-2</v>
      </c>
    </row>
    <row r="6" spans="1:11" x14ac:dyDescent="0.3">
      <c r="E6" s="3" t="s">
        <v>12</v>
      </c>
      <c r="F6">
        <v>62</v>
      </c>
      <c r="J6" s="3" t="s">
        <v>18</v>
      </c>
      <c r="K6" s="4">
        <v>6.4516129032258063E-2</v>
      </c>
    </row>
    <row r="7" spans="1:11" x14ac:dyDescent="0.3">
      <c r="J7" s="3" t="s">
        <v>12</v>
      </c>
      <c r="K7" s="4">
        <v>1</v>
      </c>
    </row>
    <row r="22" spans="1:37" s="15" customFormat="1" x14ac:dyDescent="0.3"/>
    <row r="23" spans="1:37" s="15" customFormat="1" x14ac:dyDescent="0.3"/>
    <row r="24" spans="1:37" s="15" customFormat="1" x14ac:dyDescent="0.3"/>
    <row r="25" spans="1:37" s="15" customFormat="1" x14ac:dyDescent="0.3"/>
    <row r="27" spans="1:37" x14ac:dyDescent="0.3">
      <c r="A27" s="2" t="s">
        <v>8</v>
      </c>
      <c r="B27" t="s">
        <v>13</v>
      </c>
      <c r="J27" s="2" t="s">
        <v>8</v>
      </c>
      <c r="K27" t="s">
        <v>49</v>
      </c>
      <c r="S27" s="2" t="s">
        <v>52</v>
      </c>
      <c r="T27" s="2" t="s">
        <v>53</v>
      </c>
      <c r="U27" t="s">
        <v>50</v>
      </c>
      <c r="V27" t="s">
        <v>51</v>
      </c>
    </row>
    <row r="28" spans="1:37" x14ac:dyDescent="0.3">
      <c r="A28" s="3" t="s">
        <v>25</v>
      </c>
      <c r="B28">
        <v>32</v>
      </c>
      <c r="J28" s="3" t="s">
        <v>23</v>
      </c>
      <c r="S28" t="s">
        <v>23</v>
      </c>
      <c r="T28" t="s">
        <v>26</v>
      </c>
      <c r="U28" s="12">
        <v>2.967741935483871</v>
      </c>
      <c r="V28" s="12">
        <v>1.2043970775867396</v>
      </c>
    </row>
    <row r="29" spans="1:37" x14ac:dyDescent="0.3">
      <c r="A29" s="3" t="s">
        <v>24</v>
      </c>
      <c r="B29">
        <v>23</v>
      </c>
      <c r="J29" s="10" t="s">
        <v>32</v>
      </c>
      <c r="K29" s="11">
        <v>0.58064516129032262</v>
      </c>
      <c r="S29" t="s">
        <v>24</v>
      </c>
      <c r="T29" t="s">
        <v>27</v>
      </c>
      <c r="U29" s="12">
        <v>3.1048387096774195</v>
      </c>
      <c r="V29" s="12">
        <v>1.1487619449840312</v>
      </c>
    </row>
    <row r="30" spans="1:37" x14ac:dyDescent="0.3">
      <c r="A30" s="3" t="s">
        <v>23</v>
      </c>
      <c r="B30">
        <v>1</v>
      </c>
      <c r="J30" s="5" t="s">
        <v>38</v>
      </c>
      <c r="K30" s="6">
        <v>0.54838709677419351</v>
      </c>
      <c r="T30" t="s">
        <v>28</v>
      </c>
      <c r="U30" s="12">
        <v>3.1129032258064515</v>
      </c>
      <c r="V30" s="12">
        <v>1.2195297706913504</v>
      </c>
    </row>
    <row r="31" spans="1:37" ht="18" x14ac:dyDescent="0.3">
      <c r="A31" s="3" t="s">
        <v>12</v>
      </c>
      <c r="B31">
        <v>56</v>
      </c>
      <c r="C31" t="s">
        <v>37</v>
      </c>
      <c r="J31" s="5" t="s">
        <v>35</v>
      </c>
      <c r="K31" s="6">
        <v>0.5</v>
      </c>
      <c r="S31" s="14" t="s">
        <v>25</v>
      </c>
      <c r="T31" s="14" t="s">
        <v>29</v>
      </c>
      <c r="U31" s="13">
        <v>3.2096774193548385</v>
      </c>
      <c r="V31" s="13">
        <v>1.1378686467391799</v>
      </c>
      <c r="AK31" s="7"/>
    </row>
    <row r="32" spans="1:37" x14ac:dyDescent="0.3">
      <c r="J32" s="5" t="s">
        <v>36</v>
      </c>
      <c r="K32" s="6">
        <v>0.4838709677419355</v>
      </c>
      <c r="S32" s="14"/>
      <c r="T32" s="14" t="s">
        <v>30</v>
      </c>
      <c r="U32" s="13">
        <v>3.2096774193548385</v>
      </c>
      <c r="V32" s="13">
        <v>1.1378686467391799</v>
      </c>
    </row>
    <row r="33" spans="10:37" x14ac:dyDescent="0.3">
      <c r="J33" s="5" t="s">
        <v>33</v>
      </c>
      <c r="K33" s="6">
        <v>0.37096774193548387</v>
      </c>
      <c r="T33" t="s">
        <v>31</v>
      </c>
      <c r="U33" s="12">
        <v>3.1129032258064515</v>
      </c>
      <c r="V33" s="12">
        <v>1.1791855952538217</v>
      </c>
    </row>
    <row r="34" spans="10:37" x14ac:dyDescent="0.3">
      <c r="J34" s="5" t="s">
        <v>34</v>
      </c>
      <c r="K34" s="6">
        <v>0.24193548387096775</v>
      </c>
      <c r="AK34" s="8"/>
    </row>
    <row r="35" spans="10:37" x14ac:dyDescent="0.3">
      <c r="J35" s="3" t="s">
        <v>24</v>
      </c>
      <c r="AK35" s="8"/>
    </row>
    <row r="36" spans="10:37" x14ac:dyDescent="0.3">
      <c r="J36" s="10" t="s">
        <v>39</v>
      </c>
      <c r="K36" s="11">
        <v>0.54838709677419351</v>
      </c>
      <c r="AK36" s="8"/>
    </row>
    <row r="37" spans="10:37" x14ac:dyDescent="0.3">
      <c r="J37" s="5" t="s">
        <v>40</v>
      </c>
      <c r="K37" s="6">
        <v>0.5</v>
      </c>
      <c r="AK37" s="8"/>
    </row>
    <row r="38" spans="10:37" x14ac:dyDescent="0.3">
      <c r="J38" s="5" t="s">
        <v>41</v>
      </c>
      <c r="K38" s="6">
        <v>0.46774193548387094</v>
      </c>
    </row>
    <row r="39" spans="10:37" ht="18" x14ac:dyDescent="0.3">
      <c r="J39" s="5" t="s">
        <v>42</v>
      </c>
      <c r="K39" s="6">
        <v>0.40322580645161288</v>
      </c>
      <c r="AK39" s="7"/>
    </row>
    <row r="40" spans="10:37" x14ac:dyDescent="0.3">
      <c r="J40" s="5" t="s">
        <v>43</v>
      </c>
      <c r="K40" s="6">
        <v>0.40322580645161288</v>
      </c>
    </row>
    <row r="41" spans="10:37" x14ac:dyDescent="0.3">
      <c r="J41" s="3" t="s">
        <v>25</v>
      </c>
    </row>
    <row r="42" spans="10:37" x14ac:dyDescent="0.3">
      <c r="J42" s="10" t="s">
        <v>44</v>
      </c>
      <c r="K42" s="11">
        <v>0.40322580645161288</v>
      </c>
      <c r="AK42" s="8"/>
    </row>
    <row r="43" spans="10:37" x14ac:dyDescent="0.3">
      <c r="J43" s="5" t="s">
        <v>45</v>
      </c>
      <c r="K43" s="6">
        <v>0.38709677419354838</v>
      </c>
      <c r="AK43" s="9"/>
    </row>
    <row r="44" spans="10:37" x14ac:dyDescent="0.3">
      <c r="J44" s="5" t="s">
        <v>43</v>
      </c>
      <c r="K44" s="6">
        <v>0.35483870967741937</v>
      </c>
      <c r="AK44" s="8"/>
    </row>
    <row r="45" spans="10:37" x14ac:dyDescent="0.3">
      <c r="J45" s="5" t="s">
        <v>46</v>
      </c>
      <c r="K45" s="6">
        <v>0.33870967741935482</v>
      </c>
      <c r="AK45" s="9"/>
    </row>
    <row r="46" spans="10:37" x14ac:dyDescent="0.3">
      <c r="J46" s="5" t="s">
        <v>47</v>
      </c>
      <c r="K46" s="6">
        <v>0.32258064516129031</v>
      </c>
    </row>
    <row r="47" spans="10:37" ht="18" x14ac:dyDescent="0.3">
      <c r="J47" s="5" t="s">
        <v>48</v>
      </c>
      <c r="K47" s="6">
        <v>0.30645161290322581</v>
      </c>
      <c r="AK47" s="7"/>
    </row>
    <row r="50" spans="10:37" ht="18" x14ac:dyDescent="0.3">
      <c r="J50" s="7"/>
      <c r="AK50" s="8"/>
    </row>
    <row r="51" spans="10:37" x14ac:dyDescent="0.3">
      <c r="AK51" s="9"/>
    </row>
    <row r="52" spans="10:37" x14ac:dyDescent="0.3">
      <c r="AK52" s="8"/>
    </row>
    <row r="53" spans="10:37" x14ac:dyDescent="0.3">
      <c r="J53" s="8"/>
      <c r="AK53" s="9"/>
    </row>
    <row r="54" spans="10:37" x14ac:dyDescent="0.3">
      <c r="J54" s="9"/>
    </row>
    <row r="55" spans="10:37" ht="18" x14ac:dyDescent="0.3">
      <c r="J55" s="8"/>
      <c r="AK55" s="7"/>
    </row>
    <row r="56" spans="10:37" x14ac:dyDescent="0.3">
      <c r="J56" s="9"/>
    </row>
    <row r="58" spans="10:37" ht="18" x14ac:dyDescent="0.3">
      <c r="J58" s="7"/>
      <c r="AK58" s="8"/>
    </row>
    <row r="59" spans="10:37" x14ac:dyDescent="0.3">
      <c r="AK59" s="8"/>
    </row>
    <row r="60" spans="10:37" x14ac:dyDescent="0.3">
      <c r="AK60" s="8"/>
    </row>
    <row r="61" spans="10:37" x14ac:dyDescent="0.3">
      <c r="J61" s="8"/>
      <c r="AK61" s="8"/>
    </row>
    <row r="62" spans="10:37" x14ac:dyDescent="0.3">
      <c r="J62" s="9"/>
    </row>
    <row r="63" spans="10:37" x14ac:dyDescent="0.3">
      <c r="J63" s="8"/>
    </row>
    <row r="64" spans="10:37" x14ac:dyDescent="0.3">
      <c r="J64" s="9"/>
    </row>
    <row r="68" spans="10:10" ht="18" x14ac:dyDescent="0.3">
      <c r="J68" s="7"/>
    </row>
    <row r="71" spans="10:10" x14ac:dyDescent="0.3">
      <c r="J71" s="8"/>
    </row>
    <row r="72" spans="10:10" x14ac:dyDescent="0.3">
      <c r="J72" s="9"/>
    </row>
    <row r="73" spans="10:10" x14ac:dyDescent="0.3">
      <c r="J73" s="8"/>
    </row>
    <row r="74" spans="10:10" x14ac:dyDescent="0.3">
      <c r="J74" s="9"/>
    </row>
    <row r="78" spans="10:10" ht="18" x14ac:dyDescent="0.3">
      <c r="J78" s="7"/>
    </row>
  </sheetData>
  <mergeCells count="1">
    <mergeCell ref="A22:XFD25"/>
  </mergeCells>
  <pageMargins left="0.7" right="0.7" top="0.75" bottom="0.75" header="0.3" footer="0.3"/>
  <pageSetup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61C70A29-D448-4139-B9D4-0C81481078AB}">
  <ds:schemaRefs/>
</ds:datastoreItem>
</file>

<file path=customXml/itemProps2.xml><?xml version="1.0" encoding="utf-8"?>
<ds:datastoreItem xmlns:ds="http://schemas.openxmlformats.org/officeDocument/2006/customXml" ds:itemID="{D926C987-5DDD-4DF2-AB42-42C5CE0612AB}">
  <ds:schemaRefs/>
</ds:datastoreItem>
</file>

<file path=customXml/itemProps3.xml><?xml version="1.0" encoding="utf-8"?>
<ds:datastoreItem xmlns:ds="http://schemas.openxmlformats.org/officeDocument/2006/customXml" ds:itemID="{A59C8977-BDCD-40A2-AAE7-419072230880}">
  <ds:schemaRefs/>
</ds:datastoreItem>
</file>

<file path=customXml/itemProps4.xml><?xml version="1.0" encoding="utf-8"?>
<ds:datastoreItem xmlns:ds="http://schemas.openxmlformats.org/officeDocument/2006/customXml" ds:itemID="{8612A64E-D58E-430A-847E-C484165C922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0F949A07-AD62-43DA-8BB4-F2C927C3580C}">
  <ds:schemaRefs/>
</ds:datastoreItem>
</file>

<file path=customXml/itemProps6.xml><?xml version="1.0" encoding="utf-8"?>
<ds:datastoreItem xmlns:ds="http://schemas.openxmlformats.org/officeDocument/2006/customXml" ds:itemID="{8F0438F3-FFED-42D8-9ACF-4C6907AFA249}">
  <ds:schemaRefs/>
</ds:datastoreItem>
</file>

<file path=customXml/itemProps7.xml><?xml version="1.0" encoding="utf-8"?>
<ds:datastoreItem xmlns:ds="http://schemas.openxmlformats.org/officeDocument/2006/customXml" ds:itemID="{8D99E368-E0AA-4722-93E0-C1DEA0F22FD3}">
  <ds:schemaRefs/>
</ds:datastoreItem>
</file>

<file path=customXml/itemProps8.xml><?xml version="1.0" encoding="utf-8"?>
<ds:datastoreItem xmlns:ds="http://schemas.openxmlformats.org/officeDocument/2006/customXml" ds:itemID="{C37BA781-CDFC-409C-872C-AB67383FD28D}">
  <ds:schemaRefs/>
</ds:datastoreItem>
</file>

<file path=customXml/itemProps9.xml><?xml version="1.0" encoding="utf-8"?>
<ds:datastoreItem xmlns:ds="http://schemas.openxmlformats.org/officeDocument/2006/customXml" ds:itemID="{35800FDE-951F-403D-920A-1B2C66DCFF0F}">
  <ds:schemaRefs/>
</ds:datastoreItem>
</file>

<file path=customXml/itemProps10.xml><?xml version="1.0" encoding="utf-8"?>
<ds:datastoreItem xmlns:ds="http://schemas.openxmlformats.org/officeDocument/2006/customXml" ds:itemID="{BE6ABCD7-62BA-4CE3-A886-CFB20C326B4E}">
  <ds:schemaRefs/>
</ds:datastoreItem>
</file>

<file path=customXml/itemProps11.xml><?xml version="1.0" encoding="utf-8"?>
<ds:datastoreItem xmlns:ds="http://schemas.openxmlformats.org/officeDocument/2006/customXml" ds:itemID="{4636A79C-B649-475B-AA47-42BDC2748499}">
  <ds:schemaRefs/>
</ds:datastoreItem>
</file>

<file path=customXml/itemProps12.xml><?xml version="1.0" encoding="utf-8"?>
<ds:datastoreItem xmlns:ds="http://schemas.openxmlformats.org/officeDocument/2006/customXml" ds:itemID="{43B84938-DB1A-41EA-BF09-5D3EE9CA9B03}">
  <ds:schemaRefs/>
</ds:datastoreItem>
</file>

<file path=customXml/itemProps13.xml><?xml version="1.0" encoding="utf-8"?>
<ds:datastoreItem xmlns:ds="http://schemas.openxmlformats.org/officeDocument/2006/customXml" ds:itemID="{51915EC3-721E-496B-A247-877E0BD17187}">
  <ds:schemaRefs/>
</ds:datastoreItem>
</file>

<file path=customXml/itemProps14.xml><?xml version="1.0" encoding="utf-8"?>
<ds:datastoreItem xmlns:ds="http://schemas.openxmlformats.org/officeDocument/2006/customXml" ds:itemID="{916398F2-B7BB-4590-B292-29847B6F5966}">
  <ds:schemaRefs/>
</ds:datastoreItem>
</file>

<file path=customXml/itemProps15.xml><?xml version="1.0" encoding="utf-8"?>
<ds:datastoreItem xmlns:ds="http://schemas.openxmlformats.org/officeDocument/2006/customXml" ds:itemID="{FCB4A308-926A-4A63-BFB5-9836D7449E51}">
  <ds:schemaRefs/>
</ds:datastoreItem>
</file>

<file path=customXml/itemProps16.xml><?xml version="1.0" encoding="utf-8"?>
<ds:datastoreItem xmlns:ds="http://schemas.openxmlformats.org/officeDocument/2006/customXml" ds:itemID="{C78C87DA-72EA-4A3E-BFB4-E77E0B242BBD}">
  <ds:schemaRefs/>
</ds:datastoreItem>
</file>

<file path=customXml/itemProps17.xml><?xml version="1.0" encoding="utf-8"?>
<ds:datastoreItem xmlns:ds="http://schemas.openxmlformats.org/officeDocument/2006/customXml" ds:itemID="{F2863B1A-AD19-49BE-A988-666878C456EC}">
  <ds:schemaRefs/>
</ds:datastoreItem>
</file>

<file path=customXml/itemProps18.xml><?xml version="1.0" encoding="utf-8"?>
<ds:datastoreItem xmlns:ds="http://schemas.openxmlformats.org/officeDocument/2006/customXml" ds:itemID="{B4BF869D-451D-4034-B07C-D7C5453835FD}">
  <ds:schemaRefs/>
</ds:datastoreItem>
</file>

<file path=customXml/itemProps19.xml><?xml version="1.0" encoding="utf-8"?>
<ds:datastoreItem xmlns:ds="http://schemas.openxmlformats.org/officeDocument/2006/customXml" ds:itemID="{BA3CF874-0D82-4D78-87D3-8020B134899A}">
  <ds:schemaRefs/>
</ds:datastoreItem>
</file>

<file path=customXml/itemProps20.xml><?xml version="1.0" encoding="utf-8"?>
<ds:datastoreItem xmlns:ds="http://schemas.openxmlformats.org/officeDocument/2006/customXml" ds:itemID="{84257964-0CDA-488C-9069-0C2590E85BA3}">
  <ds:schemaRefs/>
</ds:datastoreItem>
</file>

<file path=customXml/itemProps21.xml><?xml version="1.0" encoding="utf-8"?>
<ds:datastoreItem xmlns:ds="http://schemas.openxmlformats.org/officeDocument/2006/customXml" ds:itemID="{28B82149-38A8-4609-8A57-FDEC1B194C8B}">
  <ds:schemaRefs/>
</ds:datastoreItem>
</file>

<file path=customXml/itemProps22.xml><?xml version="1.0" encoding="utf-8"?>
<ds:datastoreItem xmlns:ds="http://schemas.openxmlformats.org/officeDocument/2006/customXml" ds:itemID="{2CC0989B-3992-4B75-99BF-FFCC0CE9F806}">
  <ds:schemaRefs/>
</ds:datastoreItem>
</file>

<file path=customXml/itemProps23.xml><?xml version="1.0" encoding="utf-8"?>
<ds:datastoreItem xmlns:ds="http://schemas.openxmlformats.org/officeDocument/2006/customXml" ds:itemID="{C0446FEC-C4C1-4C35-976B-C0F7EC0F89DA}">
  <ds:schemaRefs/>
</ds:datastoreItem>
</file>

<file path=customXml/itemProps24.xml><?xml version="1.0" encoding="utf-8"?>
<ds:datastoreItem xmlns:ds="http://schemas.openxmlformats.org/officeDocument/2006/customXml" ds:itemID="{52543977-9956-4821-9A76-5AF4BD7234F9}">
  <ds:schemaRefs/>
</ds:datastoreItem>
</file>

<file path=customXml/itemProps25.xml><?xml version="1.0" encoding="utf-8"?>
<ds:datastoreItem xmlns:ds="http://schemas.openxmlformats.org/officeDocument/2006/customXml" ds:itemID="{D5AD0882-E4E1-4E96-882C-09594BDF6B33}">
  <ds:schemaRefs/>
</ds:datastoreItem>
</file>

<file path=customXml/itemProps26.xml><?xml version="1.0" encoding="utf-8"?>
<ds:datastoreItem xmlns:ds="http://schemas.openxmlformats.org/officeDocument/2006/customXml" ds:itemID="{85347552-8266-4FB9-8BAB-D97CFA5A0A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2026-04-16T21:04:51Z</dcterms:created>
  <dcterms:modified xsi:type="dcterms:W3CDTF">2026-04-21T05:16:47Z</dcterms:modified>
</cp:coreProperties>
</file>